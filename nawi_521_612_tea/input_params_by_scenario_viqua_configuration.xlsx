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odson/Desktop/watertap/nawi_521_612_tea/"/>
    </mc:Choice>
  </mc:AlternateContent>
  <xr:revisionPtr revIDLastSave="0" documentId="13_ncr:1_{5953F3A5-4348-4645-BE39-B99E5490B80A}" xr6:coauthVersionLast="47" xr6:coauthVersionMax="47" xr10:uidLastSave="{00000000-0000-0000-0000-000000000000}"/>
  <bookViews>
    <workbookView xWindow="5160" yWindow="900" windowWidth="40740" windowHeight="22340" activeTab="1" xr2:uid="{A4CA030B-F012-AB4A-8C0E-21F2EDF7ECF2}"/>
  </bookViews>
  <sheets>
    <sheet name="greywater" sheetId="1" r:id="rId1"/>
    <sheet name="blackwater" sheetId="2" r:id="rId2"/>
  </sheets>
  <definedNames>
    <definedName name="_xlnm._FilterDatabase" localSheetId="1" hidden="1">blackwater!$A$1:$M$25</definedName>
    <definedName name="_xlnm._FilterDatabase" localSheetId="0" hidden="1">greywater!$A$1:$M$25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J23" i="1"/>
  <c r="J22" i="1"/>
  <c r="J13" i="1"/>
  <c r="J12" i="1"/>
  <c r="J11" i="1"/>
  <c r="J10" i="1"/>
  <c r="M13" i="2"/>
  <c r="M12" i="2"/>
  <c r="M11" i="2"/>
  <c r="M10" i="2"/>
  <c r="M9" i="2"/>
  <c r="M8" i="2"/>
  <c r="M7" i="2"/>
  <c r="M6" i="2"/>
  <c r="M5" i="2"/>
  <c r="M4" i="2"/>
  <c r="M3" i="2"/>
  <c r="M2" i="2"/>
  <c r="K25" i="1"/>
  <c r="K24" i="1"/>
  <c r="K23" i="1"/>
  <c r="K22" i="1"/>
  <c r="K13" i="1"/>
  <c r="K12" i="1"/>
  <c r="K11" i="1"/>
  <c r="K10" i="1"/>
  <c r="K25" i="2"/>
  <c r="K24" i="2"/>
  <c r="K23" i="2"/>
  <c r="K22" i="2"/>
  <c r="K11" i="2"/>
  <c r="K12" i="2"/>
  <c r="K13" i="2"/>
  <c r="K10" i="2"/>
  <c r="J21" i="1"/>
  <c r="J20" i="1"/>
  <c r="J19" i="1"/>
  <c r="J18" i="1"/>
  <c r="J17" i="1"/>
  <c r="J16" i="1"/>
  <c r="J15" i="1"/>
  <c r="J14" i="1"/>
  <c r="J9" i="1"/>
  <c r="J8" i="1"/>
  <c r="J7" i="1"/>
  <c r="J6" i="1"/>
  <c r="J5" i="1"/>
  <c r="J4" i="1"/>
  <c r="J3" i="1"/>
  <c r="J2" i="1"/>
  <c r="J21" i="2"/>
  <c r="J20" i="2"/>
  <c r="J19" i="2"/>
  <c r="J18" i="2"/>
  <c r="J17" i="2"/>
  <c r="J16" i="2"/>
  <c r="J15" i="2"/>
  <c r="J14" i="2"/>
  <c r="J2" i="2"/>
  <c r="J3" i="2"/>
  <c r="J4" i="2"/>
  <c r="J5" i="2"/>
  <c r="J6" i="2"/>
  <c r="J7" i="2"/>
  <c r="J8" i="2"/>
  <c r="J9" i="2"/>
  <c r="H25" i="2"/>
  <c r="H24" i="2"/>
  <c r="H23" i="2"/>
  <c r="H22" i="2"/>
  <c r="H13" i="2"/>
  <c r="H12" i="2"/>
  <c r="H11" i="2"/>
  <c r="H10" i="2"/>
  <c r="H25" i="1"/>
  <c r="H24" i="1"/>
  <c r="H23" i="1"/>
  <c r="H22" i="1"/>
  <c r="H13" i="1"/>
  <c r="H12" i="1"/>
  <c r="H11" i="1"/>
  <c r="H10" i="1"/>
  <c r="M21" i="1"/>
  <c r="M20" i="1"/>
  <c r="M19" i="1"/>
  <c r="M18" i="1"/>
  <c r="M25" i="1"/>
  <c r="M24" i="1"/>
  <c r="M23" i="1"/>
  <c r="M22" i="1"/>
  <c r="M16" i="1"/>
  <c r="M17" i="1"/>
  <c r="M15" i="1"/>
  <c r="M14" i="1"/>
</calcChain>
</file>

<file path=xl/sharedStrings.xml><?xml version="1.0" encoding="utf-8"?>
<sst xmlns="http://schemas.openxmlformats.org/spreadsheetml/2006/main" count="122" uniqueCount="18">
  <si>
    <t>LPUV</t>
  </si>
  <si>
    <t>KrCl*</t>
  </si>
  <si>
    <t>Alt-LPUV</t>
  </si>
  <si>
    <t>lamp_type</t>
  </si>
  <si>
    <t>target_dose</t>
  </si>
  <si>
    <t>lamp_efficiency</t>
  </si>
  <si>
    <t>reactor_volume</t>
  </si>
  <si>
    <t>h202_cnc</t>
  </si>
  <si>
    <t>contaminant_type</t>
  </si>
  <si>
    <t>Dioxane</t>
  </si>
  <si>
    <t>inactivation_rate</t>
  </si>
  <si>
    <t>NDMA</t>
  </si>
  <si>
    <t>lamp_replacement_factor</t>
  </si>
  <si>
    <t>lamp_cost</t>
  </si>
  <si>
    <t>dosing_system_cost</t>
  </si>
  <si>
    <t>reactor_cost</t>
  </si>
  <si>
    <t>irradiated_surface_area</t>
  </si>
  <si>
    <t>power_rating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</si>
</sst>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961E-0E1D-0040-9596-D63137C097DD}">
  <dimension ref="A1:N25"/>
  <sheetViews>
    <sheetView workbookViewId="0">
      <selection activeCell="E36" sqref="E36"/>
    </sheetView>
  </sheetViews>
  <sheetFormatPr baseColWidth="10" defaultRowHeight="16" x14ac:dyDescent="0.2"/>
  <cols>
    <col min="2" max="2" width="11.33203125" customWidth="1"/>
    <col min="3" max="3" width="14" customWidth="1"/>
    <col min="4" max="4" width="18.6640625" customWidth="1"/>
    <col min="5" max="5" width="22.1640625" customWidth="1"/>
    <col min="6" max="6" width="13.83203125" customWidth="1"/>
    <col min="7" max="7" width="18.83203125" customWidth="1"/>
    <col min="8" max="8" width="26.6640625" customWidth="1"/>
    <col min="9" max="9" width="22.5" customWidth="1"/>
    <col min="10" max="11" width="32.33203125" style="1" customWidth="1"/>
    <col min="12" max="12" width="22.5" customWidth="1"/>
    <col min="13" max="13" width="27.1640625" customWidth="1"/>
    <col min="14" max="14" width="24.1640625" customWidth="1"/>
  </cols>
  <sheetData>
    <row r="1" spans="1:14" x14ac:dyDescent="0.2">
      <c r="A1" s="1" t="s">
        <v>3</v>
      </c>
      <c r="B1" s="1" t="s">
        <v>7</v>
      </c>
      <c r="C1" s="1" t="s">
        <v>4</v>
      </c>
      <c r="D1" s="1" t="s">
        <v>5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6</v>
      </c>
      <c r="J1" s="1" t="s">
        <v>16</v>
      </c>
      <c r="K1" s="1" t="s">
        <v>17</v>
      </c>
      <c r="L1" s="1" t="s">
        <v>8</v>
      </c>
      <c r="M1" s="1" t="s">
        <v>10</v>
      </c>
      <c r="N1" s="1"/>
    </row>
    <row r="2" spans="1:14" x14ac:dyDescent="0.2">
      <c r="A2" s="1" t="s">
        <v>0</v>
      </c>
      <c r="B2" s="1">
        <v>0</v>
      </c>
      <c r="C2" s="1">
        <v>1228440</v>
      </c>
      <c r="D2" s="1">
        <v>0.375</v>
      </c>
      <c r="E2" s="1">
        <v>1</v>
      </c>
      <c r="F2" s="1">
        <v>8289</v>
      </c>
      <c r="G2" s="1">
        <v>0</v>
      </c>
      <c r="H2" s="1">
        <v>1383</v>
      </c>
      <c r="I2" s="1">
        <v>8.0999999999999996E-3</v>
      </c>
      <c r="J2" s="1">
        <f>PI()*0.103</f>
        <v>0.32358404331974866</v>
      </c>
      <c r="K2" s="1">
        <v>230</v>
      </c>
      <c r="L2" s="1" t="s">
        <v>9</v>
      </c>
      <c r="M2" s="2">
        <v>9.3600000000000002E-7</v>
      </c>
    </row>
    <row r="3" spans="1:14" x14ac:dyDescent="0.2">
      <c r="A3" s="1" t="s">
        <v>0</v>
      </c>
      <c r="B3" s="1">
        <v>3</v>
      </c>
      <c r="C3" s="1">
        <v>39390</v>
      </c>
      <c r="D3" s="1">
        <v>0.375</v>
      </c>
      <c r="E3" s="1">
        <v>1</v>
      </c>
      <c r="F3" s="1">
        <v>8289</v>
      </c>
      <c r="G3" s="1">
        <v>1460</v>
      </c>
      <c r="H3" s="1">
        <v>1383</v>
      </c>
      <c r="I3" s="1">
        <v>8.0999999999999996E-3</v>
      </c>
      <c r="J3" s="1">
        <f t="shared" ref="J3:J9" si="0">PI()*0.103</f>
        <v>0.32358404331974866</v>
      </c>
      <c r="K3" s="1">
        <v>230</v>
      </c>
      <c r="L3" s="1" t="s">
        <v>9</v>
      </c>
      <c r="M3" s="2">
        <v>2.9200000000000002E-5</v>
      </c>
    </row>
    <row r="4" spans="1:14" x14ac:dyDescent="0.2">
      <c r="A4" s="1" t="s">
        <v>0</v>
      </c>
      <c r="B4" s="1">
        <v>6</v>
      </c>
      <c r="C4" s="1">
        <v>22320</v>
      </c>
      <c r="D4" s="1">
        <v>0.375</v>
      </c>
      <c r="E4" s="1">
        <v>1</v>
      </c>
      <c r="F4" s="1">
        <v>8289</v>
      </c>
      <c r="G4" s="1">
        <v>1460</v>
      </c>
      <c r="H4" s="1">
        <v>1383</v>
      </c>
      <c r="I4" s="1">
        <v>8.0999999999999996E-3</v>
      </c>
      <c r="J4" s="1">
        <f t="shared" si="0"/>
        <v>0.32358404331974866</v>
      </c>
      <c r="K4" s="1">
        <v>230</v>
      </c>
      <c r="L4" s="1" t="s">
        <v>9</v>
      </c>
      <c r="M4" s="2">
        <v>5.1499999999999998E-5</v>
      </c>
    </row>
    <row r="5" spans="1:14" x14ac:dyDescent="0.2">
      <c r="A5" s="1" t="s">
        <v>0</v>
      </c>
      <c r="B5" s="1">
        <v>9</v>
      </c>
      <c r="C5" s="1">
        <v>16690</v>
      </c>
      <c r="D5" s="1">
        <v>0.375</v>
      </c>
      <c r="E5" s="1">
        <v>1</v>
      </c>
      <c r="F5" s="1">
        <v>8289</v>
      </c>
      <c r="G5" s="1">
        <v>1460</v>
      </c>
      <c r="H5" s="1">
        <v>1383</v>
      </c>
      <c r="I5" s="1">
        <v>8.0999999999999996E-3</v>
      </c>
      <c r="J5" s="1">
        <f t="shared" si="0"/>
        <v>0.32358404331974866</v>
      </c>
      <c r="K5" s="1">
        <v>230</v>
      </c>
      <c r="L5" s="1" t="s">
        <v>9</v>
      </c>
      <c r="M5" s="2">
        <v>6.8899999999999994E-5</v>
      </c>
    </row>
    <row r="6" spans="1:14" x14ac:dyDescent="0.2">
      <c r="A6" s="1" t="s">
        <v>1</v>
      </c>
      <c r="B6" s="1">
        <v>0</v>
      </c>
      <c r="C6" s="1">
        <v>6630</v>
      </c>
      <c r="D6" s="1">
        <v>0.06</v>
      </c>
      <c r="E6" s="1">
        <v>2</v>
      </c>
      <c r="F6" s="1">
        <v>2500</v>
      </c>
      <c r="G6" s="1">
        <v>0</v>
      </c>
      <c r="H6" s="1">
        <v>1383</v>
      </c>
      <c r="I6" s="1">
        <v>8.0999999999999996E-3</v>
      </c>
      <c r="J6" s="1">
        <f t="shared" si="0"/>
        <v>0.32358404331974866</v>
      </c>
      <c r="K6" s="1">
        <v>500</v>
      </c>
      <c r="L6" s="1" t="s">
        <v>9</v>
      </c>
      <c r="M6" s="2">
        <v>1.73E-4</v>
      </c>
    </row>
    <row r="7" spans="1:14" x14ac:dyDescent="0.2">
      <c r="A7" s="1" t="s">
        <v>1</v>
      </c>
      <c r="B7" s="1">
        <v>3</v>
      </c>
      <c r="C7" s="1">
        <v>5460</v>
      </c>
      <c r="D7" s="1">
        <v>0.06</v>
      </c>
      <c r="E7" s="1">
        <v>2</v>
      </c>
      <c r="F7" s="1">
        <v>2500</v>
      </c>
      <c r="G7" s="1">
        <v>1460</v>
      </c>
      <c r="H7" s="1">
        <v>1383</v>
      </c>
      <c r="I7" s="1">
        <v>8.0999999999999996E-3</v>
      </c>
      <c r="J7" s="1">
        <f t="shared" si="0"/>
        <v>0.32358404331974866</v>
      </c>
      <c r="K7" s="1">
        <v>500</v>
      </c>
      <c r="L7" s="1" t="s">
        <v>9</v>
      </c>
      <c r="M7" s="2">
        <v>2.1100000000000001E-4</v>
      </c>
    </row>
    <row r="8" spans="1:14" x14ac:dyDescent="0.2">
      <c r="A8" s="1" t="s">
        <v>1</v>
      </c>
      <c r="B8" s="1">
        <v>6</v>
      </c>
      <c r="C8" s="1">
        <v>5640</v>
      </c>
      <c r="D8" s="1">
        <v>0.06</v>
      </c>
      <c r="E8" s="1">
        <v>2</v>
      </c>
      <c r="F8" s="1">
        <v>2500</v>
      </c>
      <c r="G8" s="1">
        <v>1460</v>
      </c>
      <c r="H8" s="1">
        <v>1383</v>
      </c>
      <c r="I8" s="1">
        <v>8.0999999999999996E-3</v>
      </c>
      <c r="J8" s="1">
        <f t="shared" si="0"/>
        <v>0.32358404331974866</v>
      </c>
      <c r="K8" s="1">
        <v>500</v>
      </c>
      <c r="L8" s="1" t="s">
        <v>9</v>
      </c>
      <c r="M8" s="2">
        <v>2.04E-4</v>
      </c>
    </row>
    <row r="9" spans="1:14" x14ac:dyDescent="0.2">
      <c r="A9" s="1" t="s">
        <v>1</v>
      </c>
      <c r="B9" s="1">
        <v>9</v>
      </c>
      <c r="C9" s="1">
        <v>4700</v>
      </c>
      <c r="D9" s="1">
        <v>0.06</v>
      </c>
      <c r="E9" s="1">
        <v>2</v>
      </c>
      <c r="F9" s="1">
        <v>2500</v>
      </c>
      <c r="G9" s="1">
        <v>1460</v>
      </c>
      <c r="H9" s="1">
        <v>1383</v>
      </c>
      <c r="I9" s="1">
        <v>8.0999999999999996E-3</v>
      </c>
      <c r="J9" s="1">
        <f t="shared" si="0"/>
        <v>0.32358404331974866</v>
      </c>
      <c r="K9" s="1">
        <v>500</v>
      </c>
      <c r="L9" s="1" t="s">
        <v>9</v>
      </c>
      <c r="M9" s="2">
        <v>2.4499999999999999E-4</v>
      </c>
    </row>
    <row r="10" spans="1:14" x14ac:dyDescent="0.2">
      <c r="A10" s="1" t="s">
        <v>2</v>
      </c>
      <c r="B10" s="1">
        <v>0</v>
      </c>
      <c r="C10" s="1">
        <v>1228440</v>
      </c>
      <c r="D10" s="1">
        <v>0.35</v>
      </c>
      <c r="E10" s="1">
        <v>0.73</v>
      </c>
      <c r="F10" s="1">
        <v>2550</v>
      </c>
      <c r="G10" s="1">
        <v>0</v>
      </c>
      <c r="H10" s="1">
        <f>150000 + 50000</f>
        <v>200000</v>
      </c>
      <c r="I10" s="1">
        <v>0.316</v>
      </c>
      <c r="J10" s="1">
        <f>2.84060158557</f>
        <v>2.84060158557</v>
      </c>
      <c r="K10" s="1">
        <f>250*8</f>
        <v>2000</v>
      </c>
      <c r="L10" s="1" t="s">
        <v>9</v>
      </c>
      <c r="M10" s="2">
        <v>9.3600000000000002E-7</v>
      </c>
    </row>
    <row r="11" spans="1:14" x14ac:dyDescent="0.2">
      <c r="A11" s="1" t="s">
        <v>2</v>
      </c>
      <c r="B11" s="1">
        <v>3</v>
      </c>
      <c r="C11" s="1">
        <v>39390</v>
      </c>
      <c r="D11" s="1">
        <v>0.35</v>
      </c>
      <c r="E11" s="1">
        <v>0.73</v>
      </c>
      <c r="F11" s="1">
        <v>2550</v>
      </c>
      <c r="G11" s="1">
        <v>10000</v>
      </c>
      <c r="H11" s="1">
        <f>150000 + 50000</f>
        <v>200000</v>
      </c>
      <c r="I11" s="1">
        <v>0.316</v>
      </c>
      <c r="J11" s="1">
        <f t="shared" ref="J11:J13" si="1">2.84060158557</f>
        <v>2.84060158557</v>
      </c>
      <c r="K11" s="1">
        <f t="shared" ref="K11:K13" si="2">250*8</f>
        <v>2000</v>
      </c>
      <c r="L11" s="1" t="s">
        <v>9</v>
      </c>
      <c r="M11" s="2">
        <v>2.9200000000000002E-5</v>
      </c>
    </row>
    <row r="12" spans="1:14" x14ac:dyDescent="0.2">
      <c r="A12" s="1" t="s">
        <v>2</v>
      </c>
      <c r="B12" s="1">
        <v>6</v>
      </c>
      <c r="C12" s="1">
        <v>22320</v>
      </c>
      <c r="D12" s="1">
        <v>0.35</v>
      </c>
      <c r="E12" s="1">
        <v>0.73</v>
      </c>
      <c r="F12" s="1">
        <v>2550</v>
      </c>
      <c r="G12" s="1">
        <v>10000</v>
      </c>
      <c r="H12" s="1">
        <f>150000 + 50000</f>
        <v>200000</v>
      </c>
      <c r="I12" s="1">
        <v>0.316</v>
      </c>
      <c r="J12" s="1">
        <f t="shared" si="1"/>
        <v>2.84060158557</v>
      </c>
      <c r="K12" s="1">
        <f t="shared" si="2"/>
        <v>2000</v>
      </c>
      <c r="L12" s="1" t="s">
        <v>9</v>
      </c>
      <c r="M12" s="2">
        <v>5.1499999999999998E-5</v>
      </c>
    </row>
    <row r="13" spans="1:14" x14ac:dyDescent="0.2">
      <c r="A13" s="1" t="s">
        <v>2</v>
      </c>
      <c r="B13" s="1">
        <v>9</v>
      </c>
      <c r="C13" s="1">
        <v>16690</v>
      </c>
      <c r="D13" s="1">
        <v>0.35</v>
      </c>
      <c r="E13" s="1">
        <v>0.73</v>
      </c>
      <c r="F13" s="1">
        <v>2550</v>
      </c>
      <c r="G13" s="1">
        <v>10000</v>
      </c>
      <c r="H13" s="1">
        <f>150000 + 50000</f>
        <v>200000</v>
      </c>
      <c r="I13" s="1">
        <v>0.316</v>
      </c>
      <c r="J13" s="1">
        <f t="shared" si="1"/>
        <v>2.84060158557</v>
      </c>
      <c r="K13" s="1">
        <f t="shared" si="2"/>
        <v>2000</v>
      </c>
      <c r="L13" s="1" t="s">
        <v>9</v>
      </c>
      <c r="M13" s="2">
        <v>6.8899999999999994E-5</v>
      </c>
    </row>
    <row r="14" spans="1:14" x14ac:dyDescent="0.2">
      <c r="A14" s="1" t="s">
        <v>0</v>
      </c>
      <c r="B14" s="1">
        <v>0</v>
      </c>
      <c r="C14" s="1">
        <v>1228440</v>
      </c>
      <c r="D14" s="1">
        <v>0.375</v>
      </c>
      <c r="E14" s="1">
        <v>1</v>
      </c>
      <c r="F14" s="1">
        <v>8289</v>
      </c>
      <c r="G14" s="1">
        <v>0</v>
      </c>
      <c r="H14" s="1">
        <v>1383</v>
      </c>
      <c r="I14" s="1">
        <v>8.0999999999999996E-3</v>
      </c>
      <c r="J14" s="1">
        <f>PI()*0.103</f>
        <v>0.32358404331974866</v>
      </c>
      <c r="K14" s="1">
        <v>230</v>
      </c>
      <c r="L14" s="1" t="s">
        <v>11</v>
      </c>
      <c r="M14" s="1">
        <f>2.29*(10^-4)</f>
        <v>2.2900000000000001E-4</v>
      </c>
    </row>
    <row r="15" spans="1:14" x14ac:dyDescent="0.2">
      <c r="A15" s="1" t="s">
        <v>0</v>
      </c>
      <c r="B15" s="1">
        <v>3</v>
      </c>
      <c r="C15" s="1">
        <v>39390</v>
      </c>
      <c r="D15" s="1">
        <v>0.375</v>
      </c>
      <c r="E15" s="1">
        <v>1</v>
      </c>
      <c r="F15" s="1">
        <v>8289</v>
      </c>
      <c r="G15" s="1">
        <v>1460</v>
      </c>
      <c r="H15" s="1">
        <v>1383</v>
      </c>
      <c r="I15" s="1">
        <v>8.0999999999999996E-3</v>
      </c>
      <c r="J15" s="1">
        <f t="shared" ref="J15:J21" si="3">PI()*0.103</f>
        <v>0.32358404331974866</v>
      </c>
      <c r="K15" s="1">
        <v>230</v>
      </c>
      <c r="L15" s="1" t="s">
        <v>11</v>
      </c>
      <c r="M15" s="1">
        <f>2.28*(10^-4)</f>
        <v>2.2799999999999999E-4</v>
      </c>
    </row>
    <row r="16" spans="1:14" x14ac:dyDescent="0.2">
      <c r="A16" s="1" t="s">
        <v>0</v>
      </c>
      <c r="B16" s="1">
        <v>6</v>
      </c>
      <c r="C16" s="1">
        <v>22320</v>
      </c>
      <c r="D16" s="1">
        <v>0.375</v>
      </c>
      <c r="E16" s="1">
        <v>1</v>
      </c>
      <c r="F16" s="1">
        <v>8289</v>
      </c>
      <c r="G16" s="1">
        <v>1460</v>
      </c>
      <c r="H16" s="1">
        <v>1383</v>
      </c>
      <c r="I16" s="1">
        <v>8.0999999999999996E-3</v>
      </c>
      <c r="J16" s="1">
        <f t="shared" si="3"/>
        <v>0.32358404331974866</v>
      </c>
      <c r="K16" s="1">
        <v>230</v>
      </c>
      <c r="L16" s="1" t="s">
        <v>11</v>
      </c>
      <c r="M16" s="1">
        <f t="shared" ref="M16:M17" si="4">2.28*(10^-4)</f>
        <v>2.2799999999999999E-4</v>
      </c>
    </row>
    <row r="17" spans="1:13" x14ac:dyDescent="0.2">
      <c r="A17" s="1" t="s">
        <v>0</v>
      </c>
      <c r="B17" s="1">
        <v>9</v>
      </c>
      <c r="C17" s="1">
        <v>16690</v>
      </c>
      <c r="D17" s="1">
        <v>0.375</v>
      </c>
      <c r="E17" s="1">
        <v>1</v>
      </c>
      <c r="F17" s="1">
        <v>8289</v>
      </c>
      <c r="G17" s="1">
        <v>1460</v>
      </c>
      <c r="H17" s="1">
        <v>1383</v>
      </c>
      <c r="I17" s="1">
        <v>8.0999999999999996E-3</v>
      </c>
      <c r="J17" s="1">
        <f t="shared" si="3"/>
        <v>0.32358404331974866</v>
      </c>
      <c r="K17" s="1">
        <v>230</v>
      </c>
      <c r="L17" s="1" t="s">
        <v>11</v>
      </c>
      <c r="M17" s="1">
        <f t="shared" si="4"/>
        <v>2.2799999999999999E-4</v>
      </c>
    </row>
    <row r="18" spans="1:13" x14ac:dyDescent="0.2">
      <c r="A18" s="1" t="s">
        <v>1</v>
      </c>
      <c r="B18" s="1">
        <v>0</v>
      </c>
      <c r="C18" s="1">
        <v>6630</v>
      </c>
      <c r="D18" s="1">
        <v>0.06</v>
      </c>
      <c r="E18" s="1">
        <v>2</v>
      </c>
      <c r="F18" s="1">
        <v>2500</v>
      </c>
      <c r="G18" s="1">
        <v>0</v>
      </c>
      <c r="H18" s="1">
        <v>1383</v>
      </c>
      <c r="I18" s="1">
        <v>8.0999999999999996E-3</v>
      </c>
      <c r="J18" s="1">
        <f t="shared" si="3"/>
        <v>0.32358404331974866</v>
      </c>
      <c r="K18" s="1">
        <v>500</v>
      </c>
      <c r="L18" s="1" t="s">
        <v>11</v>
      </c>
      <c r="M18" s="1">
        <f>3.89*(10^-4)</f>
        <v>3.8900000000000002E-4</v>
      </c>
    </row>
    <row r="19" spans="1:13" x14ac:dyDescent="0.2">
      <c r="A19" s="1" t="s">
        <v>1</v>
      </c>
      <c r="B19" s="1">
        <v>3</v>
      </c>
      <c r="C19" s="1">
        <v>5460</v>
      </c>
      <c r="D19" s="1">
        <v>0.06</v>
      </c>
      <c r="E19" s="1">
        <v>2</v>
      </c>
      <c r="F19" s="1">
        <v>2500</v>
      </c>
      <c r="G19" s="1">
        <v>1460</v>
      </c>
      <c r="H19" s="1">
        <v>1383</v>
      </c>
      <c r="I19" s="1">
        <v>8.0999999999999996E-3</v>
      </c>
      <c r="J19" s="1">
        <f t="shared" si="3"/>
        <v>0.32358404331974866</v>
      </c>
      <c r="K19" s="1">
        <v>500</v>
      </c>
      <c r="L19" s="1" t="s">
        <v>11</v>
      </c>
      <c r="M19" s="1">
        <f>3.87*(10^-4)</f>
        <v>3.8700000000000003E-4</v>
      </c>
    </row>
    <row r="20" spans="1:13" x14ac:dyDescent="0.2">
      <c r="A20" s="1" t="s">
        <v>1</v>
      </c>
      <c r="B20" s="1">
        <v>6</v>
      </c>
      <c r="C20" s="1">
        <v>5640</v>
      </c>
      <c r="D20" s="1">
        <v>0.06</v>
      </c>
      <c r="E20" s="1">
        <v>2</v>
      </c>
      <c r="F20" s="1">
        <v>2500</v>
      </c>
      <c r="G20" s="1">
        <v>1460</v>
      </c>
      <c r="H20" s="1">
        <v>1383</v>
      </c>
      <c r="I20" s="1">
        <v>8.0999999999999996E-3</v>
      </c>
      <c r="J20" s="1">
        <f t="shared" si="3"/>
        <v>0.32358404331974866</v>
      </c>
      <c r="K20" s="1">
        <v>500</v>
      </c>
      <c r="L20" s="1" t="s">
        <v>11</v>
      </c>
      <c r="M20" s="1">
        <f>3.85*(10^-4)</f>
        <v>3.8500000000000003E-4</v>
      </c>
    </row>
    <row r="21" spans="1:13" x14ac:dyDescent="0.2">
      <c r="A21" s="1" t="s">
        <v>1</v>
      </c>
      <c r="B21" s="1">
        <v>9</v>
      </c>
      <c r="C21" s="1">
        <v>4700</v>
      </c>
      <c r="D21" s="1">
        <v>0.06</v>
      </c>
      <c r="E21" s="1">
        <v>2</v>
      </c>
      <c r="F21" s="1">
        <v>2500</v>
      </c>
      <c r="G21" s="1">
        <v>1460</v>
      </c>
      <c r="H21" s="1">
        <v>1383</v>
      </c>
      <c r="I21" s="1">
        <v>8.0999999999999996E-3</v>
      </c>
      <c r="J21" s="1">
        <f t="shared" si="3"/>
        <v>0.32358404331974866</v>
      </c>
      <c r="K21" s="1">
        <v>500</v>
      </c>
      <c r="L21" s="1" t="s">
        <v>11</v>
      </c>
      <c r="M21" s="1">
        <f>3.83*(10^-4)</f>
        <v>3.8300000000000004E-4</v>
      </c>
    </row>
    <row r="22" spans="1:13" x14ac:dyDescent="0.2">
      <c r="A22" s="1" t="s">
        <v>2</v>
      </c>
      <c r="B22" s="1">
        <v>0</v>
      </c>
      <c r="C22" s="1">
        <v>1228440</v>
      </c>
      <c r="D22" s="1">
        <v>0.35</v>
      </c>
      <c r="E22" s="1">
        <v>0.73</v>
      </c>
      <c r="F22" s="1">
        <v>2550</v>
      </c>
      <c r="G22" s="1">
        <v>0</v>
      </c>
      <c r="H22" s="1">
        <f>150000 + 50000</f>
        <v>200000</v>
      </c>
      <c r="I22" s="1">
        <v>0.316</v>
      </c>
      <c r="J22" s="1">
        <f t="shared" ref="J22:J25" si="5">2.84060158557</f>
        <v>2.84060158557</v>
      </c>
      <c r="K22" s="1">
        <f>250*8</f>
        <v>2000</v>
      </c>
      <c r="L22" s="1" t="s">
        <v>11</v>
      </c>
      <c r="M22" s="1">
        <f>2.29*(10^-4)</f>
        <v>2.2900000000000001E-4</v>
      </c>
    </row>
    <row r="23" spans="1:13" x14ac:dyDescent="0.2">
      <c r="A23" s="1" t="s">
        <v>2</v>
      </c>
      <c r="B23" s="1">
        <v>3</v>
      </c>
      <c r="C23" s="1">
        <v>39390</v>
      </c>
      <c r="D23" s="1">
        <v>0.35</v>
      </c>
      <c r="E23" s="1">
        <v>0.73</v>
      </c>
      <c r="F23" s="1">
        <v>2550</v>
      </c>
      <c r="G23" s="1">
        <v>10000</v>
      </c>
      <c r="H23" s="1">
        <f>150000 + 50000</f>
        <v>200000</v>
      </c>
      <c r="I23" s="1">
        <v>0.316</v>
      </c>
      <c r="J23" s="1">
        <f t="shared" si="5"/>
        <v>2.84060158557</v>
      </c>
      <c r="K23" s="1">
        <f t="shared" ref="K23:K25" si="6">250*8</f>
        <v>2000</v>
      </c>
      <c r="L23" s="1" t="s">
        <v>11</v>
      </c>
      <c r="M23" s="1">
        <f>2.28*(10^-4)</f>
        <v>2.2799999999999999E-4</v>
      </c>
    </row>
    <row r="24" spans="1:13" x14ac:dyDescent="0.2">
      <c r="A24" s="1" t="s">
        <v>2</v>
      </c>
      <c r="B24" s="1">
        <v>6</v>
      </c>
      <c r="C24" s="1">
        <v>22320</v>
      </c>
      <c r="D24" s="1">
        <v>0.35</v>
      </c>
      <c r="E24" s="1">
        <v>0.73</v>
      </c>
      <c r="F24" s="1">
        <v>2550</v>
      </c>
      <c r="G24" s="1">
        <v>10000</v>
      </c>
      <c r="H24" s="1">
        <f>150000 + 50000</f>
        <v>200000</v>
      </c>
      <c r="I24" s="1">
        <v>0.316</v>
      </c>
      <c r="J24" s="1">
        <f t="shared" si="5"/>
        <v>2.84060158557</v>
      </c>
      <c r="K24" s="1">
        <f t="shared" si="6"/>
        <v>2000</v>
      </c>
      <c r="L24" s="1" t="s">
        <v>11</v>
      </c>
      <c r="M24" s="1">
        <f t="shared" ref="M24:M25" si="7">2.28*(10^-4)</f>
        <v>2.2799999999999999E-4</v>
      </c>
    </row>
    <row r="25" spans="1:13" x14ac:dyDescent="0.2">
      <c r="A25" s="1" t="s">
        <v>2</v>
      </c>
      <c r="B25" s="1">
        <v>9</v>
      </c>
      <c r="C25" s="1">
        <v>16690</v>
      </c>
      <c r="D25" s="1">
        <v>0.35</v>
      </c>
      <c r="E25" s="1">
        <v>0.73</v>
      </c>
      <c r="F25" s="1">
        <v>2550</v>
      </c>
      <c r="G25" s="1">
        <v>10000</v>
      </c>
      <c r="H25" s="1">
        <f>150000 + 50000</f>
        <v>200000</v>
      </c>
      <c r="I25" s="1">
        <v>0.316</v>
      </c>
      <c r="J25" s="1">
        <f t="shared" si="5"/>
        <v>2.84060158557</v>
      </c>
      <c r="K25" s="1">
        <f t="shared" si="6"/>
        <v>2000</v>
      </c>
      <c r="L25" s="1" t="s">
        <v>11</v>
      </c>
      <c r="M25" s="1">
        <f t="shared" si="7"/>
        <v>2.2799999999999999E-4</v>
      </c>
    </row>
  </sheetData>
  <autoFilter ref="A1:M25" xr:uid="{F782961E-0E1D-0040-9596-D63137C097D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8CE2-B6AD-AF48-A792-9E016AEBA92E}">
  <dimension ref="A1:M25"/>
  <sheetViews>
    <sheetView tabSelected="1" workbookViewId="0">
      <selection activeCell="H28" sqref="H28"/>
    </sheetView>
  </sheetViews>
  <sheetFormatPr baseColWidth="10" defaultRowHeight="16" x14ac:dyDescent="0.2"/>
  <cols>
    <col min="1" max="1" width="10.83203125" style="1"/>
    <col min="2" max="2" width="11.5" style="1" customWidth="1"/>
    <col min="3" max="3" width="17.5" style="1" customWidth="1"/>
    <col min="4" max="4" width="16.33203125" style="1" customWidth="1"/>
    <col min="5" max="5" width="24.33203125" style="1" customWidth="1"/>
    <col min="6" max="6" width="15.5" style="1" customWidth="1"/>
    <col min="7" max="7" width="19" style="1" customWidth="1"/>
    <col min="8" max="8" width="17.1640625" style="1" customWidth="1"/>
    <col min="9" max="9" width="19.83203125" style="1" customWidth="1"/>
    <col min="10" max="11" width="32.33203125" style="1" customWidth="1"/>
    <col min="12" max="12" width="10.83203125" style="1"/>
    <col min="13" max="13" width="24" style="1" customWidth="1"/>
    <col min="14" max="16384" width="10.83203125" style="1"/>
  </cols>
  <sheetData>
    <row r="1" spans="1:13" x14ac:dyDescent="0.2">
      <c r="A1" s="1" t="s">
        <v>3</v>
      </c>
      <c r="B1" s="1" t="s">
        <v>7</v>
      </c>
      <c r="C1" s="1" t="s">
        <v>4</v>
      </c>
      <c r="D1" s="1" t="s">
        <v>5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6</v>
      </c>
      <c r="J1" s="1" t="s">
        <v>16</v>
      </c>
      <c r="K1" s="1" t="s">
        <v>17</v>
      </c>
      <c r="L1" s="1" t="s">
        <v>8</v>
      </c>
      <c r="M1" s="1" t="s">
        <v>10</v>
      </c>
    </row>
    <row r="2" spans="1:13" x14ac:dyDescent="0.2">
      <c r="A2" s="1" t="s">
        <v>0</v>
      </c>
      <c r="B2" s="1">
        <v>0</v>
      </c>
      <c r="C2" s="1">
        <v>1157317.1099999999</v>
      </c>
      <c r="D2" s="1">
        <v>0.375</v>
      </c>
      <c r="E2" s="1">
        <v>1</v>
      </c>
      <c r="F2" s="1">
        <v>8289</v>
      </c>
      <c r="G2" s="1">
        <v>0</v>
      </c>
      <c r="H2" s="1">
        <v>1383</v>
      </c>
      <c r="I2" s="1">
        <v>8.0999999999999996E-3</v>
      </c>
      <c r="J2" s="1">
        <f>PI()*0.103</f>
        <v>0.32358404331974866</v>
      </c>
      <c r="K2" s="1">
        <v>230</v>
      </c>
      <c r="L2" s="1" t="s">
        <v>9</v>
      </c>
      <c r="M2" s="2">
        <f>1.42*10^-4/10</f>
        <v>1.4200000000000001E-5</v>
      </c>
    </row>
    <row r="3" spans="1:13" x14ac:dyDescent="0.2">
      <c r="A3" s="1" t="s">
        <v>0</v>
      </c>
      <c r="B3" s="1">
        <v>3.67</v>
      </c>
      <c r="C3" s="1">
        <v>15930</v>
      </c>
      <c r="D3" s="1">
        <v>0.375</v>
      </c>
      <c r="E3" s="1">
        <v>1</v>
      </c>
      <c r="F3" s="1">
        <v>8289</v>
      </c>
      <c r="G3" s="1">
        <v>1460</v>
      </c>
      <c r="H3" s="1">
        <v>1383</v>
      </c>
      <c r="I3" s="1">
        <v>8.0999999999999996E-3</v>
      </c>
      <c r="J3" s="1">
        <f t="shared" ref="J3:J9" si="0">PI()*0.103</f>
        <v>0.32358404331974866</v>
      </c>
      <c r="K3" s="1">
        <v>230</v>
      </c>
      <c r="L3" s="1" t="s">
        <v>9</v>
      </c>
      <c r="M3" s="2">
        <f>7.22*10^-4/10</f>
        <v>7.2199999999999993E-5</v>
      </c>
    </row>
    <row r="4" spans="1:13" x14ac:dyDescent="0.2">
      <c r="A4" s="1" t="s">
        <v>0</v>
      </c>
      <c r="B4" s="1">
        <v>5.73</v>
      </c>
      <c r="C4" s="1">
        <v>14120</v>
      </c>
      <c r="D4" s="1">
        <v>0.375</v>
      </c>
      <c r="E4" s="1">
        <v>1</v>
      </c>
      <c r="F4" s="1">
        <v>8289</v>
      </c>
      <c r="G4" s="1">
        <v>1460</v>
      </c>
      <c r="H4" s="1">
        <v>1383</v>
      </c>
      <c r="I4" s="1">
        <v>8.0999999999999996E-3</v>
      </c>
      <c r="J4" s="1">
        <f t="shared" si="0"/>
        <v>0.32358404331974866</v>
      </c>
      <c r="K4" s="1">
        <v>230</v>
      </c>
      <c r="L4" s="1" t="s">
        <v>9</v>
      </c>
      <c r="M4" s="2">
        <f>8.15*10^-4/10</f>
        <v>8.1500000000000002E-5</v>
      </c>
    </row>
    <row r="5" spans="1:13" x14ac:dyDescent="0.2">
      <c r="A5" s="1" t="s">
        <v>0</v>
      </c>
      <c r="B5" s="1">
        <v>9.4</v>
      </c>
      <c r="C5" s="1">
        <v>7170</v>
      </c>
      <c r="D5" s="1">
        <v>0.375</v>
      </c>
      <c r="E5" s="1">
        <v>1</v>
      </c>
      <c r="F5" s="1">
        <v>8289</v>
      </c>
      <c r="G5" s="1">
        <v>1460</v>
      </c>
      <c r="H5" s="1">
        <v>1383</v>
      </c>
      <c r="I5" s="1">
        <v>8.0999999999999996E-3</v>
      </c>
      <c r="J5" s="1">
        <f t="shared" si="0"/>
        <v>0.32358404331974866</v>
      </c>
      <c r="K5" s="1">
        <v>230</v>
      </c>
      <c r="L5" s="1" t="s">
        <v>9</v>
      </c>
      <c r="M5" s="2">
        <f>1.6*10^-3/10</f>
        <v>1.6000000000000001E-4</v>
      </c>
    </row>
    <row r="6" spans="1:13" x14ac:dyDescent="0.2">
      <c r="A6" s="1" t="s">
        <v>1</v>
      </c>
      <c r="B6" s="1">
        <v>0</v>
      </c>
      <c r="C6" s="1">
        <v>2480</v>
      </c>
      <c r="D6" s="1">
        <v>0.06</v>
      </c>
      <c r="E6" s="1">
        <v>2</v>
      </c>
      <c r="F6" s="1">
        <v>2500</v>
      </c>
      <c r="G6" s="1">
        <v>0</v>
      </c>
      <c r="H6" s="1">
        <v>1383</v>
      </c>
      <c r="I6" s="1">
        <v>8.0999999999999996E-3</v>
      </c>
      <c r="J6" s="1">
        <f t="shared" si="0"/>
        <v>0.32358404331974866</v>
      </c>
      <c r="K6" s="1">
        <v>500</v>
      </c>
      <c r="L6" s="1" t="s">
        <v>9</v>
      </c>
      <c r="M6" s="2">
        <f>4.63*10^-3/10</f>
        <v>4.6299999999999998E-4</v>
      </c>
    </row>
    <row r="7" spans="1:13" x14ac:dyDescent="0.2">
      <c r="A7" s="1" t="s">
        <v>1</v>
      </c>
      <c r="B7" s="1">
        <v>4.26</v>
      </c>
      <c r="C7" s="1">
        <v>2270</v>
      </c>
      <c r="D7" s="1">
        <v>0.06</v>
      </c>
      <c r="E7" s="1">
        <v>2</v>
      </c>
      <c r="F7" s="1">
        <v>2500</v>
      </c>
      <c r="G7" s="1">
        <v>1460</v>
      </c>
      <c r="H7" s="1">
        <v>1383</v>
      </c>
      <c r="I7" s="1">
        <v>8.0999999999999996E-3</v>
      </c>
      <c r="J7" s="1">
        <f t="shared" si="0"/>
        <v>0.32358404331974866</v>
      </c>
      <c r="K7" s="1">
        <v>500</v>
      </c>
      <c r="L7" s="1" t="s">
        <v>9</v>
      </c>
      <c r="M7" s="2">
        <f>5.08*10^-3/10</f>
        <v>5.0799999999999999E-4</v>
      </c>
    </row>
    <row r="8" spans="1:13" x14ac:dyDescent="0.2">
      <c r="A8" s="1" t="s">
        <v>1</v>
      </c>
      <c r="B8" s="1">
        <v>5.73</v>
      </c>
      <c r="C8" s="1">
        <v>2260</v>
      </c>
      <c r="D8" s="1">
        <v>0.06</v>
      </c>
      <c r="E8" s="1">
        <v>2</v>
      </c>
      <c r="F8" s="1">
        <v>2500</v>
      </c>
      <c r="G8" s="1">
        <v>1460</v>
      </c>
      <c r="H8" s="1">
        <v>1383</v>
      </c>
      <c r="I8" s="1">
        <v>8.0999999999999996E-3</v>
      </c>
      <c r="J8" s="1">
        <f t="shared" si="0"/>
        <v>0.32358404331974866</v>
      </c>
      <c r="K8" s="1">
        <v>500</v>
      </c>
      <c r="L8" s="1" t="s">
        <v>9</v>
      </c>
      <c r="M8" s="2">
        <f>5.09*10^-3/10</f>
        <v>5.0900000000000001E-4</v>
      </c>
    </row>
    <row r="9" spans="1:13" x14ac:dyDescent="0.2">
      <c r="A9" s="1" t="s">
        <v>1</v>
      </c>
      <c r="B9" s="1">
        <v>9.4</v>
      </c>
      <c r="C9" s="1">
        <v>2180</v>
      </c>
      <c r="D9" s="1">
        <v>0.06</v>
      </c>
      <c r="E9" s="1">
        <v>2</v>
      </c>
      <c r="F9" s="1">
        <v>2500</v>
      </c>
      <c r="G9" s="1">
        <v>1460</v>
      </c>
      <c r="H9" s="1">
        <v>1383</v>
      </c>
      <c r="I9" s="1">
        <v>8.0999999999999996E-3</v>
      </c>
      <c r="J9" s="1">
        <f t="shared" si="0"/>
        <v>0.32358404331974866</v>
      </c>
      <c r="K9" s="1">
        <v>500</v>
      </c>
      <c r="L9" s="1" t="s">
        <v>9</v>
      </c>
      <c r="M9" s="2">
        <f>5.28*10^-3/10</f>
        <v>5.2800000000000004E-4</v>
      </c>
    </row>
    <row r="10" spans="1:13" x14ac:dyDescent="0.2">
      <c r="A10" s="1" t="s">
        <v>2</v>
      </c>
      <c r="B10" s="1">
        <v>0</v>
      </c>
      <c r="C10" s="1">
        <v>1157317.1099999999</v>
      </c>
      <c r="D10" s="1">
        <v>0.35</v>
      </c>
      <c r="E10" s="1">
        <v>0.73</v>
      </c>
      <c r="F10" s="1">
        <v>2550</v>
      </c>
      <c r="G10" s="1">
        <v>0</v>
      </c>
      <c r="H10" s="1">
        <f>150000 + 50000</f>
        <v>200000</v>
      </c>
      <c r="I10" s="1">
        <v>0.316</v>
      </c>
      <c r="J10" s="1">
        <v>2.84060158557</v>
      </c>
      <c r="K10" s="1">
        <f>250*8</f>
        <v>2000</v>
      </c>
      <c r="L10" s="1" t="s">
        <v>9</v>
      </c>
      <c r="M10" s="2">
        <f>1.42*10^-4/10</f>
        <v>1.4200000000000001E-5</v>
      </c>
    </row>
    <row r="11" spans="1:13" x14ac:dyDescent="0.2">
      <c r="A11" s="1" t="s">
        <v>2</v>
      </c>
      <c r="B11" s="1">
        <v>3.67</v>
      </c>
      <c r="C11" s="1">
        <v>15930</v>
      </c>
      <c r="D11" s="1">
        <v>0.35</v>
      </c>
      <c r="E11" s="1">
        <v>0.73</v>
      </c>
      <c r="F11" s="1">
        <v>2550</v>
      </c>
      <c r="G11" s="1">
        <v>10000</v>
      </c>
      <c r="H11" s="1">
        <f>150000 + 50000</f>
        <v>200000</v>
      </c>
      <c r="I11" s="1">
        <v>0.316</v>
      </c>
      <c r="J11" s="1">
        <v>2.84060158557</v>
      </c>
      <c r="K11" s="1">
        <f t="shared" ref="K11:K13" si="1">250*8</f>
        <v>2000</v>
      </c>
      <c r="L11" s="1" t="s">
        <v>9</v>
      </c>
      <c r="M11" s="2">
        <f>7.22*10^-4/10</f>
        <v>7.2199999999999993E-5</v>
      </c>
    </row>
    <row r="12" spans="1:13" x14ac:dyDescent="0.2">
      <c r="A12" s="1" t="s">
        <v>2</v>
      </c>
      <c r="B12" s="1">
        <v>5.73</v>
      </c>
      <c r="C12" s="1">
        <v>14120</v>
      </c>
      <c r="D12" s="1">
        <v>0.35</v>
      </c>
      <c r="E12" s="1">
        <v>0.73</v>
      </c>
      <c r="F12" s="1">
        <v>2550</v>
      </c>
      <c r="G12" s="1">
        <v>10000</v>
      </c>
      <c r="H12" s="1">
        <f>150000 + 50000</f>
        <v>200000</v>
      </c>
      <c r="I12" s="1">
        <v>0.316</v>
      </c>
      <c r="J12" s="1">
        <v>2.84060158557</v>
      </c>
      <c r="K12" s="1">
        <f t="shared" si="1"/>
        <v>2000</v>
      </c>
      <c r="L12" s="1" t="s">
        <v>9</v>
      </c>
      <c r="M12" s="2">
        <f>8.15*10^-4/10</f>
        <v>8.1500000000000002E-5</v>
      </c>
    </row>
    <row r="13" spans="1:13" x14ac:dyDescent="0.2">
      <c r="A13" s="1" t="s">
        <v>2</v>
      </c>
      <c r="B13" s="1">
        <v>9.4</v>
      </c>
      <c r="C13" s="1">
        <v>7170</v>
      </c>
      <c r="D13" s="1">
        <v>0.35</v>
      </c>
      <c r="E13" s="1">
        <v>0.73</v>
      </c>
      <c r="F13" s="1">
        <v>2550</v>
      </c>
      <c r="G13" s="1">
        <v>10000</v>
      </c>
      <c r="H13" s="1">
        <f>150000 + 50000</f>
        <v>200000</v>
      </c>
      <c r="I13" s="1">
        <v>0.316</v>
      </c>
      <c r="J13" s="1">
        <v>2.84060158557</v>
      </c>
      <c r="K13" s="1">
        <f t="shared" si="1"/>
        <v>2000</v>
      </c>
      <c r="L13" s="1" t="s">
        <v>9</v>
      </c>
      <c r="M13" s="2">
        <f>1.6*10^-3/10</f>
        <v>1.6000000000000001E-4</v>
      </c>
    </row>
    <row r="14" spans="1:13" x14ac:dyDescent="0.2">
      <c r="A14" s="1" t="s">
        <v>0</v>
      </c>
      <c r="B14" s="1">
        <v>0</v>
      </c>
      <c r="C14" s="1">
        <v>1157317.1099999999</v>
      </c>
      <c r="D14" s="1">
        <v>0.375</v>
      </c>
      <c r="E14" s="1">
        <v>1</v>
      </c>
      <c r="F14" s="1">
        <v>8289</v>
      </c>
      <c r="G14" s="1">
        <v>0</v>
      </c>
      <c r="H14" s="1">
        <v>1383</v>
      </c>
      <c r="I14" s="1">
        <v>8.0999999999999996E-3</v>
      </c>
      <c r="J14" s="1">
        <f>PI()*0.103</f>
        <v>0.32358404331974866</v>
      </c>
      <c r="K14" s="1">
        <v>230</v>
      </c>
      <c r="L14" s="1" t="s">
        <v>11</v>
      </c>
      <c r="M14" s="3">
        <v>2.4199999999999998E-3</v>
      </c>
    </row>
    <row r="15" spans="1:13" x14ac:dyDescent="0.2">
      <c r="A15" s="1" t="s">
        <v>0</v>
      </c>
      <c r="B15" s="1">
        <v>3.67</v>
      </c>
      <c r="C15" s="1">
        <v>15930</v>
      </c>
      <c r="D15" s="1">
        <v>0.375</v>
      </c>
      <c r="E15" s="1">
        <v>1</v>
      </c>
      <c r="F15" s="1">
        <v>8289</v>
      </c>
      <c r="G15" s="1">
        <v>1460</v>
      </c>
      <c r="H15" s="1">
        <v>1383</v>
      </c>
      <c r="I15" s="1">
        <v>8.0999999999999996E-3</v>
      </c>
      <c r="J15" s="1">
        <f t="shared" ref="J15:J21" si="2">PI()*0.103</f>
        <v>0.32358404331974866</v>
      </c>
      <c r="K15" s="1">
        <v>230</v>
      </c>
      <c r="L15" s="1" t="s">
        <v>11</v>
      </c>
      <c r="M15" s="3">
        <v>2.4199999999999998E-3</v>
      </c>
    </row>
    <row r="16" spans="1:13" x14ac:dyDescent="0.2">
      <c r="A16" s="1" t="s">
        <v>0</v>
      </c>
      <c r="B16" s="1">
        <v>5.73</v>
      </c>
      <c r="C16" s="1">
        <v>14120</v>
      </c>
      <c r="D16" s="1">
        <v>0.375</v>
      </c>
      <c r="E16" s="1">
        <v>1</v>
      </c>
      <c r="F16" s="1">
        <v>8289</v>
      </c>
      <c r="G16" s="1">
        <v>1460</v>
      </c>
      <c r="H16" s="1">
        <v>1383</v>
      </c>
      <c r="I16" s="1">
        <v>8.0999999999999996E-3</v>
      </c>
      <c r="J16" s="1">
        <f t="shared" si="2"/>
        <v>0.32358404331974866</v>
      </c>
      <c r="K16" s="1">
        <v>230</v>
      </c>
      <c r="L16" s="1" t="s">
        <v>11</v>
      </c>
      <c r="M16" s="3">
        <v>2.4199999999999998E-3</v>
      </c>
    </row>
    <row r="17" spans="1:13" x14ac:dyDescent="0.2">
      <c r="A17" s="1" t="s">
        <v>0</v>
      </c>
      <c r="B17" s="1">
        <v>9.4</v>
      </c>
      <c r="C17" s="1">
        <v>7170</v>
      </c>
      <c r="D17" s="1">
        <v>0.375</v>
      </c>
      <c r="E17" s="1">
        <v>1</v>
      </c>
      <c r="F17" s="1">
        <v>8289</v>
      </c>
      <c r="G17" s="1">
        <v>1460</v>
      </c>
      <c r="H17" s="1">
        <v>1383</v>
      </c>
      <c r="I17" s="1">
        <v>8.0999999999999996E-3</v>
      </c>
      <c r="J17" s="1">
        <f t="shared" si="2"/>
        <v>0.32358404331974866</v>
      </c>
      <c r="K17" s="1">
        <v>230</v>
      </c>
      <c r="L17" s="1" t="s">
        <v>11</v>
      </c>
      <c r="M17" s="3">
        <v>2.4099999999999998E-3</v>
      </c>
    </row>
    <row r="18" spans="1:13" x14ac:dyDescent="0.2">
      <c r="A18" s="1" t="s">
        <v>1</v>
      </c>
      <c r="B18" s="1">
        <v>0</v>
      </c>
      <c r="C18" s="1">
        <v>2480</v>
      </c>
      <c r="D18" s="1">
        <v>0.06</v>
      </c>
      <c r="E18" s="1">
        <v>2</v>
      </c>
      <c r="F18" s="1">
        <v>2500</v>
      </c>
      <c r="G18" s="1">
        <v>0</v>
      </c>
      <c r="H18" s="1">
        <v>1383</v>
      </c>
      <c r="I18" s="1">
        <v>8.0999999999999996E-3</v>
      </c>
      <c r="J18" s="1">
        <f t="shared" si="2"/>
        <v>0.32358404331974866</v>
      </c>
      <c r="K18" s="1">
        <v>500</v>
      </c>
      <c r="L18" s="1" t="s">
        <v>11</v>
      </c>
      <c r="M18" s="3">
        <v>2.0899999999999998E-3</v>
      </c>
    </row>
    <row r="19" spans="1:13" x14ac:dyDescent="0.2">
      <c r="A19" s="1" t="s">
        <v>1</v>
      </c>
      <c r="B19" s="1">
        <v>4.26</v>
      </c>
      <c r="C19" s="1">
        <v>2270</v>
      </c>
      <c r="D19" s="1">
        <v>0.06</v>
      </c>
      <c r="E19" s="1">
        <v>2</v>
      </c>
      <c r="F19" s="1">
        <v>2500</v>
      </c>
      <c r="G19" s="1">
        <v>1460</v>
      </c>
      <c r="H19" s="1">
        <v>1383</v>
      </c>
      <c r="I19" s="1">
        <v>8.0999999999999996E-3</v>
      </c>
      <c r="J19" s="1">
        <f t="shared" si="2"/>
        <v>0.32358404331974866</v>
      </c>
      <c r="K19" s="1">
        <v>500</v>
      </c>
      <c r="L19" s="1" t="s">
        <v>11</v>
      </c>
      <c r="M19" s="3">
        <v>2.0799999999999998E-3</v>
      </c>
    </row>
    <row r="20" spans="1:13" x14ac:dyDescent="0.2">
      <c r="A20" s="1" t="s">
        <v>1</v>
      </c>
      <c r="B20" s="1">
        <v>5.73</v>
      </c>
      <c r="C20" s="1">
        <v>2260</v>
      </c>
      <c r="D20" s="1">
        <v>0.06</v>
      </c>
      <c r="E20" s="1">
        <v>2</v>
      </c>
      <c r="F20" s="1">
        <v>2500</v>
      </c>
      <c r="G20" s="1">
        <v>1460</v>
      </c>
      <c r="H20" s="1">
        <v>1383</v>
      </c>
      <c r="I20" s="1">
        <v>8.0999999999999996E-3</v>
      </c>
      <c r="J20" s="1">
        <f t="shared" si="2"/>
        <v>0.32358404331974866</v>
      </c>
      <c r="K20" s="1">
        <v>500</v>
      </c>
      <c r="L20" s="1" t="s">
        <v>11</v>
      </c>
      <c r="M20" s="3">
        <v>2.0799999999999998E-3</v>
      </c>
    </row>
    <row r="21" spans="1:13" x14ac:dyDescent="0.2">
      <c r="A21" s="1" t="s">
        <v>1</v>
      </c>
      <c r="B21" s="1">
        <v>9.4</v>
      </c>
      <c r="C21" s="1">
        <v>2180</v>
      </c>
      <c r="D21" s="1">
        <v>0.06</v>
      </c>
      <c r="E21" s="1">
        <v>2</v>
      </c>
      <c r="F21" s="1">
        <v>2500</v>
      </c>
      <c r="G21" s="1">
        <v>1460</v>
      </c>
      <c r="H21" s="1">
        <v>1383</v>
      </c>
      <c r="I21" s="1">
        <v>8.0999999999999996E-3</v>
      </c>
      <c r="J21" s="1">
        <f t="shared" si="2"/>
        <v>0.32358404331974866</v>
      </c>
      <c r="K21" s="1">
        <v>500</v>
      </c>
      <c r="L21" s="1" t="s">
        <v>11</v>
      </c>
      <c r="M21" s="3">
        <v>2.0699999999999998E-3</v>
      </c>
    </row>
    <row r="22" spans="1:13" x14ac:dyDescent="0.2">
      <c r="A22" s="1" t="s">
        <v>2</v>
      </c>
      <c r="B22" s="1">
        <v>0</v>
      </c>
      <c r="C22" s="1">
        <v>1157317.1099999999</v>
      </c>
      <c r="D22" s="1">
        <v>0.35</v>
      </c>
      <c r="E22" s="1">
        <v>0.73</v>
      </c>
      <c r="F22" s="1">
        <v>2550</v>
      </c>
      <c r="G22" s="1">
        <v>0</v>
      </c>
      <c r="H22" s="1">
        <f>150000 + 50000</f>
        <v>200000</v>
      </c>
      <c r="I22" s="1">
        <v>0.316</v>
      </c>
      <c r="J22" s="1">
        <v>2.84060158557</v>
      </c>
      <c r="K22" s="1">
        <f>250*8</f>
        <v>2000</v>
      </c>
      <c r="L22" s="1" t="s">
        <v>11</v>
      </c>
      <c r="M22" s="3">
        <v>2.4199999999999998E-3</v>
      </c>
    </row>
    <row r="23" spans="1:13" x14ac:dyDescent="0.2">
      <c r="A23" s="1" t="s">
        <v>2</v>
      </c>
      <c r="B23" s="1">
        <v>3.67</v>
      </c>
      <c r="C23" s="1">
        <v>15930</v>
      </c>
      <c r="D23" s="1">
        <v>0.35</v>
      </c>
      <c r="E23" s="1">
        <v>0.73</v>
      </c>
      <c r="F23" s="1">
        <v>2550</v>
      </c>
      <c r="G23" s="1">
        <v>10000</v>
      </c>
      <c r="H23" s="1">
        <f>150000 + 50000</f>
        <v>200000</v>
      </c>
      <c r="I23" s="1">
        <v>0.316</v>
      </c>
      <c r="J23" s="1">
        <v>2.84060158557</v>
      </c>
      <c r="K23" s="1">
        <f t="shared" ref="K23:K25" si="3">250*8</f>
        <v>2000</v>
      </c>
      <c r="L23" s="1" t="s">
        <v>11</v>
      </c>
      <c r="M23" s="3">
        <v>2.4199999999999998E-3</v>
      </c>
    </row>
    <row r="24" spans="1:13" x14ac:dyDescent="0.2">
      <c r="A24" s="1" t="s">
        <v>2</v>
      </c>
      <c r="B24" s="1">
        <v>5.73</v>
      </c>
      <c r="C24" s="1">
        <v>14120</v>
      </c>
      <c r="D24" s="1">
        <v>0.35</v>
      </c>
      <c r="E24" s="1">
        <v>0.73</v>
      </c>
      <c r="F24" s="1">
        <v>2550</v>
      </c>
      <c r="G24" s="1">
        <v>10000</v>
      </c>
      <c r="H24" s="1">
        <f>150000 + 50000</f>
        <v>200000</v>
      </c>
      <c r="I24" s="1">
        <v>0.316</v>
      </c>
      <c r="J24" s="1">
        <v>2.84060158557</v>
      </c>
      <c r="K24" s="1">
        <f t="shared" si="3"/>
        <v>2000</v>
      </c>
      <c r="L24" s="1" t="s">
        <v>11</v>
      </c>
      <c r="M24" s="3">
        <v>2.4199999999999998E-3</v>
      </c>
    </row>
    <row r="25" spans="1:13" x14ac:dyDescent="0.2">
      <c r="A25" s="1" t="s">
        <v>2</v>
      </c>
      <c r="B25" s="1">
        <v>9.4</v>
      </c>
      <c r="C25" s="1">
        <v>7170</v>
      </c>
      <c r="D25" s="1">
        <v>0.35</v>
      </c>
      <c r="E25" s="1">
        <v>0.73</v>
      </c>
      <c r="F25" s="1">
        <v>2550</v>
      </c>
      <c r="G25" s="1">
        <v>10000</v>
      </c>
      <c r="H25" s="1">
        <f>150000 + 50000</f>
        <v>200000</v>
      </c>
      <c r="I25" s="1">
        <v>0.316</v>
      </c>
      <c r="J25" s="1">
        <v>2.84060158557</v>
      </c>
      <c r="K25" s="1">
        <f t="shared" si="3"/>
        <v>2000</v>
      </c>
      <c r="L25" s="1" t="s">
        <v>11</v>
      </c>
      <c r="M25" s="3">
        <v>2.4099999999999998E-3</v>
      </c>
    </row>
  </sheetData>
  <autoFilter ref="A1:M25" xr:uid="{C3E78CE2-B6AD-AF48-A792-9E016AEBA92E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greywater</vt:lpstr>
      <vt:lpstr>blackwater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Abigayle Hodson</dc:creator>
  <cp:lastModifiedBy>Abigayle Hodson</cp:lastModifiedBy>
  <dcterms:created xsi:type="dcterms:W3CDTF">2026-01-29T01:07:25Z</dcterms:created>
  <dcterms:modified xsi:type="dcterms:W3CDTF">2026-02-26T21:27:57Z</dcterms:modified>
</cp:coreProperties>
</file>